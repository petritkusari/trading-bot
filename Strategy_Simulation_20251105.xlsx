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Strategy Sim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0070C0"/>
      <sz val="12"/>
    </font>
    <font>
      <b val="1"/>
      <color rgb="00FFFFFF"/>
      <sz val="12"/>
    </font>
    <font>
      <b val="1"/>
    </font>
    <font>
      <b val="1"/>
      <color rgb="00C00000"/>
      <sz val="12"/>
    </font>
    <font>
      <b val="1"/>
      <sz val="12"/>
    </font>
    <font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5" fontId="4" fillId="3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  <xf numFmtId="165" fontId="0" fillId="5" borderId="0" pivotButton="0" quotePrefix="0" xfId="0"/>
    <xf numFmtId="0" fontId="0" fillId="5" borderId="0" pivotButton="0" quotePrefix="0" xfId="0"/>
    <xf numFmtId="0" fontId="6" fillId="0" borderId="0" pivotButton="0" quotePrefix="0" xfId="0"/>
    <xf numFmtId="165" fontId="6" fillId="6" borderId="0" pivotButton="0" quotePrefix="0" xfId="0"/>
    <xf numFmtId="10" fontId="4" fillId="6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18" customWidth="1" min="8" max="8"/>
  </cols>
  <sheetData>
    <row r="1">
      <c r="A1" s="1" t="inlineStr">
        <is>
          <t>WEEKLY OPTIONS STRATEGY SIMULATION</t>
        </is>
      </c>
    </row>
    <row r="2">
      <c r="A2" t="inlineStr">
        <is>
          <t>Start Date: 2025-11-05</t>
        </is>
      </c>
    </row>
    <row r="3">
      <c r="A3" t="inlineStr">
        <is>
          <t>Expiration: 2025-11-07 (Friday)</t>
        </is>
      </c>
    </row>
    <row r="4">
      <c r="A4" t="inlineStr">
        <is>
          <t>Initial Capital: $50,000</t>
        </is>
      </c>
    </row>
    <row r="6">
      <c r="A6" s="2" t="inlineStr">
        <is>
          <t>POSITIONS TO TAKE (MONDAY/TODAY)</t>
        </is>
      </c>
    </row>
    <row r="7">
      <c r="A7" s="3" t="inlineStr">
        <is>
          <t>Ticker</t>
        </is>
      </c>
      <c r="B7" s="3" t="inlineStr">
        <is>
          <t>Allocation %</t>
        </is>
      </c>
      <c r="C7" s="3" t="inlineStr">
        <is>
          <t>Capital $</t>
        </is>
      </c>
      <c r="D7" s="3" t="inlineStr">
        <is>
          <t>Current Price</t>
        </is>
      </c>
      <c r="E7" s="3" t="inlineStr">
        <is>
          <t>ATM Strike</t>
        </is>
      </c>
      <c r="F7" s="3" t="inlineStr">
        <is>
          <t>PUT Premium Est.</t>
        </is>
      </c>
      <c r="G7" s="3" t="inlineStr">
        <is>
          <t>Contracts</t>
        </is>
      </c>
      <c r="H7" s="3" t="inlineStr">
        <is>
          <t>Total Premium</t>
        </is>
      </c>
    </row>
    <row r="8">
      <c r="A8" t="inlineStr">
        <is>
          <t>VXX</t>
        </is>
      </c>
      <c r="B8" t="inlineStr">
        <is>
          <t>25%</t>
        </is>
      </c>
      <c r="C8" s="4" t="n">
        <v>12500</v>
      </c>
      <c r="D8" s="5" t="n">
        <v>34.88999938964844</v>
      </c>
      <c r="E8" s="5" t="n">
        <v>35</v>
      </c>
      <c r="F8" s="5" t="n">
        <v>2.18</v>
      </c>
      <c r="G8" t="n">
        <v>3</v>
      </c>
      <c r="H8" s="5" t="n">
        <v>654.0000000000001</v>
      </c>
    </row>
    <row r="9">
      <c r="A9" t="inlineStr">
        <is>
          <t>COIN</t>
        </is>
      </c>
      <c r="B9" t="inlineStr">
        <is>
          <t>25%</t>
        </is>
      </c>
      <c r="C9" s="4" t="n">
        <v>12500</v>
      </c>
      <c r="D9" s="5" t="n">
        <v>307.3200073242188</v>
      </c>
      <c r="E9" s="5" t="n">
        <v>310</v>
      </c>
      <c r="F9" s="5" t="n">
        <v>16.33</v>
      </c>
      <c r="G9" t="n">
        <v>0</v>
      </c>
      <c r="H9" s="5" t="n">
        <v>0</v>
      </c>
    </row>
    <row r="10">
      <c r="A10" t="inlineStr">
        <is>
          <t>TSLA</t>
        </is>
      </c>
      <c r="B10" t="inlineStr">
        <is>
          <t>25%</t>
        </is>
      </c>
      <c r="C10" s="4" t="n">
        <v>12500</v>
      </c>
      <c r="D10" s="5" t="n">
        <v>444.260009765625</v>
      </c>
      <c r="E10" s="5" t="n">
        <v>440</v>
      </c>
      <c r="F10" s="5" t="n">
        <v>16.44</v>
      </c>
      <c r="G10" t="n">
        <v>0</v>
      </c>
      <c r="H10" s="5" t="n">
        <v>0</v>
      </c>
    </row>
    <row r="11">
      <c r="A11" t="inlineStr">
        <is>
          <t>QQQ</t>
        </is>
      </c>
      <c r="B11" t="inlineStr">
        <is>
          <t>15%</t>
        </is>
      </c>
      <c r="C11" s="4" t="n">
        <v>7500</v>
      </c>
      <c r="D11" s="5" t="n">
        <v>619.25</v>
      </c>
      <c r="E11" s="5" t="n">
        <v>620</v>
      </c>
      <c r="F11" s="5" t="n">
        <v>12.21</v>
      </c>
      <c r="G11" t="n">
        <v>0</v>
      </c>
      <c r="H11" s="5" t="n">
        <v>0</v>
      </c>
    </row>
    <row r="12">
      <c r="A12" s="6" t="inlineStr">
        <is>
          <t>TOTAL PREMIUM COLLECTED</t>
        </is>
      </c>
      <c r="H12" s="7">
        <f>SUM(H8:H11)</f>
        <v/>
      </c>
    </row>
    <row r="15">
      <c r="A15" s="8" t="inlineStr">
        <is>
          <t>FRIDAY CLOSING PRICES (FILL IN ON FRIDAY)</t>
        </is>
      </c>
    </row>
    <row r="16">
      <c r="A16" s="9" t="inlineStr">
        <is>
          <t>Ticker</t>
        </is>
      </c>
      <c r="B16" s="9" t="inlineStr">
        <is>
          <t>Friday Close</t>
        </is>
      </c>
      <c r="C16" s="9" t="inlineStr">
        <is>
          <t>Strike</t>
        </is>
      </c>
      <c r="D16" s="9" t="inlineStr">
        <is>
          <t>ITM?</t>
        </is>
      </c>
      <c r="E16" s="9" t="inlineStr">
        <is>
          <t>Assignment?</t>
        </is>
      </c>
      <c r="F16" s="9" t="inlineStr">
        <is>
          <t>P&amp;L per Contract</t>
        </is>
      </c>
      <c r="G16" s="9" t="inlineStr">
        <is>
          <t>Total P&amp;L</t>
        </is>
      </c>
    </row>
    <row r="17">
      <c r="A17" t="inlineStr">
        <is>
          <t>VXX</t>
        </is>
      </c>
      <c r="B17" s="10" t="inlineStr"/>
      <c r="C17" s="5">
        <f>E8</f>
        <v/>
      </c>
      <c r="D17">
        <f>IF(B17&lt;C17,"YES","NO")</f>
        <v/>
      </c>
      <c r="E17" s="11" t="inlineStr"/>
      <c r="F17" s="5">
        <f>IF(E17="YES", F8*100 - (C17-B17)*100, F8*100)</f>
        <v/>
      </c>
      <c r="G17" s="5">
        <f>F17*G8</f>
        <v/>
      </c>
    </row>
    <row r="18">
      <c r="A18" t="inlineStr">
        <is>
          <t>COIN</t>
        </is>
      </c>
      <c r="B18" s="10" t="inlineStr"/>
      <c r="C18" s="5">
        <f>E9</f>
        <v/>
      </c>
      <c r="D18">
        <f>IF(B18&lt;C18,"YES","NO")</f>
        <v/>
      </c>
      <c r="E18" s="11" t="inlineStr"/>
      <c r="F18" s="5">
        <f>IF(E18="YES", F9*100 - (C18-B18)*100, F9*100)</f>
        <v/>
      </c>
      <c r="G18" s="5">
        <f>F18*G9</f>
        <v/>
      </c>
    </row>
    <row r="19">
      <c r="A19" t="inlineStr">
        <is>
          <t>TSLA</t>
        </is>
      </c>
      <c r="B19" s="10" t="inlineStr"/>
      <c r="C19" s="5">
        <f>E10</f>
        <v/>
      </c>
      <c r="D19">
        <f>IF(B19&lt;C19,"YES","NO")</f>
        <v/>
      </c>
      <c r="E19" s="11" t="inlineStr"/>
      <c r="F19" s="5">
        <f>IF(E19="YES", F10*100 - (C19-B19)*100, F10*100)</f>
        <v/>
      </c>
      <c r="G19" s="5">
        <f>F19*G10</f>
        <v/>
      </c>
    </row>
    <row r="20">
      <c r="A20" t="inlineStr">
        <is>
          <t>QQQ</t>
        </is>
      </c>
      <c r="B20" s="10" t="inlineStr"/>
      <c r="C20" s="5">
        <f>E11</f>
        <v/>
      </c>
      <c r="D20">
        <f>IF(B20&lt;C20,"YES","NO")</f>
        <v/>
      </c>
      <c r="E20" s="11" t="inlineStr"/>
      <c r="F20" s="5">
        <f>IF(E20="YES", F11*100 - (C20-B20)*100, F11*100)</f>
        <v/>
      </c>
      <c r="G20" s="5">
        <f>F20*G11</f>
        <v/>
      </c>
    </row>
    <row r="22">
      <c r="A22" s="12" t="inlineStr">
        <is>
          <t>WEEKLY PROFIT/LOSS</t>
        </is>
      </c>
      <c r="G22" s="13">
        <f>SUM(G17:G20)</f>
        <v/>
      </c>
    </row>
    <row r="23">
      <c r="A23" s="6" t="inlineStr">
        <is>
          <t>WEEKLY RETURN %</t>
        </is>
      </c>
      <c r="G23" s="14">
        <f>G22/50000</f>
        <v/>
      </c>
    </row>
    <row r="26">
      <c r="A26" s="15" t="inlineStr">
        <is>
          <t>INSTRUCTIONS:</t>
        </is>
      </c>
    </row>
    <row r="27">
      <c r="A27" t="inlineStr">
        <is>
          <t>1. Review the positions above - this is what you would sell TODAY</t>
        </is>
      </c>
    </row>
    <row r="28">
      <c r="A28" t="inlineStr">
        <is>
          <t>2. On FRIDAY, fill in the yellow cells with actual closing prices</t>
        </is>
      </c>
    </row>
    <row r="29">
      <c r="A29" t="inlineStr">
        <is>
          <t>3. Mark 'YES' or 'NO' for Assignment (if stock below strike, you're assigned)</t>
        </is>
      </c>
    </row>
    <row r="30">
      <c r="A30" t="inlineStr">
        <is>
          <t>4. Spreadsheet will automatically calculate your P&amp;L</t>
        </is>
      </c>
    </row>
    <row r="31">
      <c r="A31" t="inlineStr">
        <is>
          <t>5. Compare actual results to estimated premiums</t>
        </is>
      </c>
    </row>
    <row r="32">
      <c r="A32" t="inlineStr">
        <is>
          <t>6. Create new sheet for next week and repeat!</t>
        </is>
      </c>
    </row>
    <row r="33">
      <c r="A33" t="inlineStr"/>
    </row>
    <row r="34">
      <c r="A34" t="inlineStr">
        <is>
          <t>YELLOW CELLS = You need to fill these in on Friday</t>
        </is>
      </c>
    </row>
    <row r="35">
      <c r="A35" t="inlineStr">
        <is>
          <t>GREEN CELLS = Automatic calculations</t>
        </is>
      </c>
    </row>
  </sheetData>
  <mergeCells count="3">
    <mergeCell ref="A1:H1"/>
    <mergeCell ref="A6:H6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2025-11-05T13:27:56Z</dcterms:created>
  <dcterms:modified xmlns:dcterms="http://purl.org/dc/terms/" xmlns:xsi="http://www.w3.org/2001/XMLSchema-instance" xsi:type="dcterms:W3CDTF">2025-11-05T13:27:56Z</dcterms:modified>
</cp:coreProperties>
</file>