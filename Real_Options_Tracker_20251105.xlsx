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0070C0"/>
      <sz val="14"/>
    </font>
    <font>
      <sz val="11"/>
    </font>
    <font>
      <i val="1"/>
      <color rgb="00C00000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wrapText="1"/>
    </xf>
    <xf numFmtId="164" fontId="0" fillId="0" borderId="0" pivotButton="0" quotePrefix="0" xfId="0"/>
    <xf numFmtId="0" fontId="6" fillId="0" borderId="0" pivotButton="0" quotePrefix="0" xfId="0"/>
    <xf numFmtId="164" fontId="6" fillId="4" borderId="0" pivotButton="0" quotePrefix="0" xfId="0"/>
    <xf numFmtId="0" fontId="4" fillId="5" borderId="0" pivotButton="0" quotePrefix="0" xfId="0"/>
    <xf numFmtId="164" fontId="0" fillId="6" borderId="0" pivotButton="0" quotePrefix="0" xfId="0"/>
    <xf numFmtId="10" fontId="0" fillId="0" borderId="0" pivotButton="0" quotePrefix="0" xfId="0"/>
    <xf numFmtId="0" fontId="4" fillId="7" borderId="0" pivotButton="0" quotePrefix="0" xfId="0"/>
    <xf numFmtId="164" fontId="6" fillId="0" borderId="0" pivotButton="0" quotePrefix="0" xfId="0"/>
    <xf numFmtId="1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8" customWidth="1" min="5" max="5"/>
    <col width="8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" t="inlineStr">
        <is>
          <t>REAL OPTIONS STRATEGY - ACTUAL MARKET DATA</t>
        </is>
      </c>
    </row>
    <row r="2">
      <c r="A2" s="2" t="inlineStr">
        <is>
          <t>Week: 2025-11-05 to 2025-11-07</t>
        </is>
      </c>
    </row>
    <row r="3">
      <c r="A3" s="3" t="inlineStr">
        <is>
          <t>Using 1 CONTRACT each position (as requested)</t>
        </is>
      </c>
    </row>
    <row r="5">
      <c r="A5" s="4" t="inlineStr">
        <is>
          <t>POSITIONS TO ENTER (ACTUAL OPTION DATA)</t>
        </is>
      </c>
    </row>
    <row r="6">
      <c r="A6" s="5" t="inlineStr">
        <is>
          <t>Ticker</t>
        </is>
      </c>
      <c r="B6" s="5" t="inlineStr">
        <is>
          <t>Stock Price</t>
        </is>
      </c>
      <c r="C6" s="5" t="inlineStr">
        <is>
          <t>Strike</t>
        </is>
      </c>
      <c r="D6" s="5" t="inlineStr">
        <is>
          <t>Expiry</t>
        </is>
      </c>
      <c r="E6" s="5" t="inlineStr">
        <is>
          <t>Bid</t>
        </is>
      </c>
      <c r="F6" s="5" t="inlineStr">
        <is>
          <t>Ask</t>
        </is>
      </c>
      <c r="G6" s="5" t="inlineStr">
        <is>
          <t>Mid Price</t>
        </is>
      </c>
      <c r="H6" s="5" t="inlineStr">
        <is>
          <t>Premium $</t>
        </is>
      </c>
      <c r="I6" s="5" t="inlineStr">
        <is>
          <t>Contracts</t>
        </is>
      </c>
      <c r="J6" s="5" t="inlineStr">
        <is>
          <t>Total Premium</t>
        </is>
      </c>
    </row>
    <row r="7">
      <c r="A7" t="inlineStr">
        <is>
          <t>VXX</t>
        </is>
      </c>
      <c r="B7" s="6" t="n">
        <v>34.88999938964844</v>
      </c>
      <c r="C7" s="6" t="n">
        <v>35</v>
      </c>
      <c r="D7" t="inlineStr">
        <is>
          <t>2025-11-07</t>
        </is>
      </c>
      <c r="E7" s="6" t="n">
        <v>0</v>
      </c>
      <c r="F7" s="6" t="n">
        <v>0</v>
      </c>
      <c r="G7" s="6" t="n">
        <v>0</v>
      </c>
      <c r="H7" s="6" t="n">
        <v>0</v>
      </c>
      <c r="I7" t="n">
        <v>1</v>
      </c>
      <c r="J7" s="6" t="n">
        <v>0</v>
      </c>
    </row>
    <row r="8">
      <c r="A8" t="inlineStr">
        <is>
          <t>VIXY</t>
        </is>
      </c>
      <c r="B8" s="6" t="n">
        <v>33.90000152587891</v>
      </c>
      <c r="C8" s="6" t="n">
        <v>34</v>
      </c>
      <c r="D8" t="inlineStr">
        <is>
          <t>2025-11-21</t>
        </is>
      </c>
      <c r="E8" s="6" t="n">
        <v>0</v>
      </c>
      <c r="F8" s="6" t="n">
        <v>0</v>
      </c>
      <c r="G8" s="6" t="n">
        <v>0</v>
      </c>
      <c r="H8" s="6" t="n">
        <v>0</v>
      </c>
      <c r="I8" t="n">
        <v>1</v>
      </c>
      <c r="J8" s="6" t="n">
        <v>0</v>
      </c>
    </row>
    <row r="9">
      <c r="A9" t="inlineStr">
        <is>
          <t>AMD</t>
        </is>
      </c>
      <c r="B9" s="6" t="n">
        <v>250.0500030517578</v>
      </c>
      <c r="C9" s="6" t="n">
        <v>250</v>
      </c>
      <c r="D9" t="inlineStr">
        <is>
          <t>2025-11-07</t>
        </is>
      </c>
      <c r="E9" s="6" t="n">
        <v>0</v>
      </c>
      <c r="F9" s="6" t="n">
        <v>0</v>
      </c>
      <c r="G9" s="6" t="n">
        <v>0</v>
      </c>
      <c r="H9" s="6" t="n">
        <v>0</v>
      </c>
      <c r="I9" t="n">
        <v>1</v>
      </c>
      <c r="J9" s="6" t="n">
        <v>0</v>
      </c>
    </row>
    <row r="10">
      <c r="A10" t="inlineStr">
        <is>
          <t>PLTR</t>
        </is>
      </c>
      <c r="B10" s="6" t="n">
        <v>190.7400054931641</v>
      </c>
      <c r="C10" s="6" t="n">
        <v>190</v>
      </c>
      <c r="D10" t="inlineStr">
        <is>
          <t>2025-11-07</t>
        </is>
      </c>
      <c r="E10" s="6" t="n">
        <v>0</v>
      </c>
      <c r="F10" s="6" t="n">
        <v>0</v>
      </c>
      <c r="G10" s="6" t="n">
        <v>0</v>
      </c>
      <c r="H10" s="6" t="n">
        <v>0</v>
      </c>
      <c r="I10" t="n">
        <v>1</v>
      </c>
      <c r="J10" s="6" t="n">
        <v>0</v>
      </c>
    </row>
    <row r="11">
      <c r="A11" s="7" t="inlineStr">
        <is>
          <t>TOTAL PREMIUM TO COLLECT:</t>
        </is>
      </c>
      <c r="J11" s="8">
        <f>SUM(J7:J10)</f>
        <v/>
      </c>
    </row>
    <row r="14">
      <c r="A14" s="9" t="inlineStr">
        <is>
          <t>FRIDAY RESULTS (FILL IN YELLOW CELLS)</t>
        </is>
      </c>
    </row>
    <row r="15">
      <c r="A15" s="5" t="inlineStr">
        <is>
          <t>Ticker</t>
        </is>
      </c>
      <c r="B15" s="5" t="inlineStr">
        <is>
          <t>Friday Close</t>
        </is>
      </c>
      <c r="C15" s="5" t="inlineStr">
        <is>
          <t>Strike</t>
        </is>
      </c>
      <c r="D15" s="5" t="inlineStr">
        <is>
          <t>Move %</t>
        </is>
      </c>
      <c r="E15" s="5" t="inlineStr">
        <is>
          <t>ITM?</t>
        </is>
      </c>
      <c r="F15" s="5" t="inlineStr">
        <is>
          <t>Premium Kept</t>
        </is>
      </c>
      <c r="G15" s="5" t="inlineStr">
        <is>
          <t>Loss if Assigned</t>
        </is>
      </c>
      <c r="H15" s="5" t="inlineStr">
        <is>
          <t>NET P&amp;L</t>
        </is>
      </c>
      <c r="I15" s="5" t="inlineStr">
        <is>
          <t>Return %</t>
        </is>
      </c>
      <c r="J15" s="5" t="inlineStr">
        <is>
          <t>Status</t>
        </is>
      </c>
    </row>
    <row r="16">
      <c r="A16" t="inlineStr">
        <is>
          <t>VXX</t>
        </is>
      </c>
      <c r="B16" s="10" t="inlineStr"/>
      <c r="C16" s="6">
        <f>C7</f>
        <v/>
      </c>
      <c r="D16" s="11">
        <f>(B16-B7)/B7</f>
        <v/>
      </c>
      <c r="E16">
        <f>IF(B16="","",IF(B16&lt;C16,"YES","NO"))</f>
        <v/>
      </c>
      <c r="F16" s="6">
        <f>J7</f>
        <v/>
      </c>
      <c r="G16" s="6">
        <f>IF(E16="YES",(C16-B16)*100,0)</f>
        <v/>
      </c>
      <c r="H16" s="6">
        <f>F16-G16</f>
        <v/>
      </c>
      <c r="I16" s="11">
        <f>H16/(C16*100)</f>
        <v/>
      </c>
      <c r="J16">
        <f>IF(B16="","PENDING",IF(H16&gt;0,"WIN","LOSS"))</f>
        <v/>
      </c>
    </row>
    <row r="17">
      <c r="A17" t="inlineStr">
        <is>
          <t>VIXY</t>
        </is>
      </c>
      <c r="B17" s="10" t="inlineStr"/>
      <c r="C17" s="6">
        <f>C8</f>
        <v/>
      </c>
      <c r="D17" s="11">
        <f>(B17-B8)/B8</f>
        <v/>
      </c>
      <c r="E17">
        <f>IF(B17="","",IF(B17&lt;C17,"YES","NO"))</f>
        <v/>
      </c>
      <c r="F17" s="6">
        <f>J8</f>
        <v/>
      </c>
      <c r="G17" s="6">
        <f>IF(E17="YES",(C17-B17)*100,0)</f>
        <v/>
      </c>
      <c r="H17" s="6">
        <f>F17-G17</f>
        <v/>
      </c>
      <c r="I17" s="11">
        <f>H17/(C17*100)</f>
        <v/>
      </c>
      <c r="J17">
        <f>IF(B17="","PENDING",IF(H17&gt;0,"WIN","LOSS"))</f>
        <v/>
      </c>
    </row>
    <row r="18">
      <c r="A18" t="inlineStr">
        <is>
          <t>AMD</t>
        </is>
      </c>
      <c r="B18" s="10" t="inlineStr"/>
      <c r="C18" s="6">
        <f>C9</f>
        <v/>
      </c>
      <c r="D18" s="11">
        <f>(B18-B9)/B9</f>
        <v/>
      </c>
      <c r="E18">
        <f>IF(B18="","",IF(B18&lt;C18,"YES","NO"))</f>
        <v/>
      </c>
      <c r="F18" s="6">
        <f>J9</f>
        <v/>
      </c>
      <c r="G18" s="6">
        <f>IF(E18="YES",(C18-B18)*100,0)</f>
        <v/>
      </c>
      <c r="H18" s="6">
        <f>F18-G18</f>
        <v/>
      </c>
      <c r="I18" s="11">
        <f>H18/(C18*100)</f>
        <v/>
      </c>
      <c r="J18">
        <f>IF(B18="","PENDING",IF(H18&gt;0,"WIN","LOSS"))</f>
        <v/>
      </c>
    </row>
    <row r="19">
      <c r="A19" t="inlineStr">
        <is>
          <t>PLTR</t>
        </is>
      </c>
      <c r="B19" s="10" t="inlineStr"/>
      <c r="C19" s="6">
        <f>C10</f>
        <v/>
      </c>
      <c r="D19" s="11">
        <f>(B19-B10)/B10</f>
        <v/>
      </c>
      <c r="E19">
        <f>IF(B19="","",IF(B19&lt;C19,"YES","NO"))</f>
        <v/>
      </c>
      <c r="F19" s="6">
        <f>J10</f>
        <v/>
      </c>
      <c r="G19" s="6">
        <f>IF(E19="YES",(C19-B19)*100,0)</f>
        <v/>
      </c>
      <c r="H19" s="6">
        <f>F19-G19</f>
        <v/>
      </c>
      <c r="I19" s="11">
        <f>H19/(C19*100)</f>
        <v/>
      </c>
      <c r="J19">
        <f>IF(B19="","PENDING",IF(H19&gt;0,"WIN","LOSS"))</f>
        <v/>
      </c>
    </row>
    <row r="22">
      <c r="A22" s="12" t="inlineStr">
        <is>
          <t>WEEKLY SUMMARY</t>
        </is>
      </c>
    </row>
    <row r="23">
      <c r="A23" s="7" t="inlineStr">
        <is>
          <t>Total Premium Collected:</t>
        </is>
      </c>
      <c r="C23" s="8">
        <f>SUM(F16:F19)</f>
        <v/>
      </c>
    </row>
    <row r="24">
      <c r="A24" s="7" t="inlineStr">
        <is>
          <t>Total Assignment Losses:</t>
        </is>
      </c>
      <c r="C24" s="13">
        <f>SUM(G16:G19)</f>
        <v/>
      </c>
    </row>
    <row r="25">
      <c r="A25" s="7" t="inlineStr">
        <is>
          <t>NET WEEKLY P&amp;L:</t>
        </is>
      </c>
      <c r="C25" s="8">
        <f>SUM(H16:H19)</f>
        <v/>
      </c>
    </row>
    <row r="26">
      <c r="A26" s="7" t="inlineStr">
        <is>
          <t>Average Return per Position:</t>
        </is>
      </c>
      <c r="C26" s="13">
        <f>AVERAGE(I16:I19)</f>
        <v/>
      </c>
    </row>
    <row r="27">
      <c r="A27" s="7" t="inlineStr">
        <is>
          <t>Win Rate:</t>
        </is>
      </c>
      <c r="C27" s="14">
        <f>COUNTIF(H16:H19,"&gt;0")/COUNTA(H16:H19)</f>
        <v/>
      </c>
    </row>
    <row r="28">
      <c r="A28" s="7" t="inlineStr">
        <is>
          <t>Best Position:</t>
        </is>
      </c>
      <c r="C28" s="13">
        <f>MAX(H16:H19)</f>
        <v/>
      </c>
    </row>
    <row r="29">
      <c r="A29" s="7" t="inlineStr">
        <is>
          <t>Worst Position:</t>
        </is>
      </c>
      <c r="C29" s="13">
        <f>MIN(H16:H19)</f>
        <v/>
      </c>
    </row>
    <row r="32">
      <c r="A32" s="15" t="inlineStr">
        <is>
          <t>INSTRUCTIONS:</t>
        </is>
      </c>
    </row>
    <row r="33">
      <c r="A33" t="inlineStr"/>
    </row>
    <row r="34">
      <c r="A34" s="7" t="inlineStr">
        <is>
          <t>1. TODAY: Review the positions above (REAL option data!)</t>
        </is>
      </c>
    </row>
    <row r="35">
      <c r="A35" s="7" t="inlineStr">
        <is>
          <t>2. Note: All positions are 1 CONTRACT each</t>
        </is>
      </c>
    </row>
    <row r="36">
      <c r="A36" s="7" t="inlineStr">
        <is>
          <t>3. FRIDAY: Fill in the YELLOW cells (Friday closing price for each stock)</t>
        </is>
      </c>
    </row>
    <row r="37">
      <c r="A37" s="7" t="inlineStr">
        <is>
          <t>4. Everything else calculates automatically!</t>
        </is>
      </c>
    </row>
    <row r="38">
      <c r="A38" t="inlineStr"/>
    </row>
    <row r="39">
      <c r="A39" t="inlineStr">
        <is>
          <t>The spreadsheet will calculate:</t>
        </is>
      </c>
    </row>
    <row r="40">
      <c r="A40" t="inlineStr">
        <is>
          <t xml:space="preserve">  - Whether you were assigned (stock &lt; strike = YES)</t>
        </is>
      </c>
    </row>
    <row r="41">
      <c r="A41" t="inlineStr">
        <is>
          <t xml:space="preserve">  - Premium you keep (always get this!)</t>
        </is>
      </c>
    </row>
    <row r="42">
      <c r="A42" t="inlineStr">
        <is>
          <t xml:space="preserve">  - Loss if assigned (only if stock drops below strike)</t>
        </is>
      </c>
    </row>
    <row r="43">
      <c r="A43" t="inlineStr">
        <is>
          <t xml:space="preserve">  - NET P&amp;L (Premium - Loss)</t>
        </is>
      </c>
    </row>
    <row r="44">
      <c r="A44" t="inlineStr">
        <is>
          <t xml:space="preserve">  - Return % on capital used</t>
        </is>
      </c>
    </row>
    <row r="45">
      <c r="A45" t="inlineStr">
        <is>
          <t xml:space="preserve">  - Win/Loss status</t>
        </is>
      </c>
    </row>
    <row r="46">
      <c r="A46" t="inlineStr"/>
    </row>
    <row r="47">
      <c r="A47" t="inlineStr">
        <is>
          <t>EXAMPLE:</t>
        </is>
      </c>
    </row>
    <row r="48">
      <c r="A48" t="inlineStr">
        <is>
          <t xml:space="preserve">  If VXX closes at $36 (above $35 strike):</t>
        </is>
      </c>
    </row>
    <row r="49">
      <c r="A49" t="inlineStr">
        <is>
          <t xml:space="preserve">    - NOT assigned</t>
        </is>
      </c>
    </row>
    <row r="50">
      <c r="A50" t="inlineStr">
        <is>
          <t xml:space="preserve">    - Keep full premium (e.g., $280)</t>
        </is>
      </c>
    </row>
    <row r="51">
      <c r="A51" t="inlineStr">
        <is>
          <t xml:space="preserve">    - NET P&amp;L = +$280</t>
        </is>
      </c>
    </row>
    <row r="52">
      <c r="A52" t="inlineStr"/>
    </row>
    <row r="53">
      <c r="A53" t="inlineStr">
        <is>
          <t xml:space="preserve">  If VXX closes at $32 (below $35 strike):</t>
        </is>
      </c>
    </row>
    <row r="54">
      <c r="A54" t="inlineStr">
        <is>
          <t xml:space="preserve">    - ASSIGNED (buy 100 shares at $35)</t>
        </is>
      </c>
    </row>
    <row r="55">
      <c r="A55" t="inlineStr">
        <is>
          <t xml:space="preserve">    - Keep premium (e.g., $280)</t>
        </is>
      </c>
    </row>
    <row r="56">
      <c r="A56" t="inlineStr">
        <is>
          <t xml:space="preserve">    - Loss = ($35-$32)*100 = $300</t>
        </is>
      </c>
    </row>
    <row r="57">
      <c r="A57" t="inlineStr">
        <is>
          <t xml:space="preserve">    - NET P&amp;L = $280 - $300 = -$20</t>
        </is>
      </c>
    </row>
  </sheetData>
  <mergeCells count="32">
    <mergeCell ref="A1:J1"/>
    <mergeCell ref="A2:J2"/>
    <mergeCell ref="A3:J3"/>
    <mergeCell ref="A5:J5"/>
    <mergeCell ref="A14:J14"/>
    <mergeCell ref="A22:D22"/>
    <mergeCell ref="A32:J32"/>
    <mergeCell ref="A33:J33"/>
    <mergeCell ref="A34:J34"/>
    <mergeCell ref="A35:J35"/>
    <mergeCell ref="A36:J36"/>
    <mergeCell ref="A37:J37"/>
    <mergeCell ref="A38:J38"/>
    <mergeCell ref="A39:J39"/>
    <mergeCell ref="A40:J40"/>
    <mergeCell ref="A41:J41"/>
    <mergeCell ref="A42:J42"/>
    <mergeCell ref="A43:J43"/>
    <mergeCell ref="A44:J44"/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  <mergeCell ref="A54:J54"/>
    <mergeCell ref="A55:J55"/>
    <mergeCell ref="A56:J56"/>
    <mergeCell ref="A57:J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2025-11-05T14:11:53Z</dcterms:created>
  <dcterms:modified xmlns:dcterms="http://purl.org/dc/terms/" xmlns:xsi="http://www.w3.org/2001/XMLSchema-instance" xsi:type="dcterms:W3CDTF">2025-11-05T14:11:53Z</dcterms:modified>
</cp:coreProperties>
</file>