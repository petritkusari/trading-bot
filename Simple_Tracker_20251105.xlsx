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This Wee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<sst xmlns="http://schemas.openxmlformats.org/spreadsheetml/2006/main" count="52" uniqueCount="46">
  <si>
    <t xml:space="preserve">THIS WEEK'S STRATEGY SIMULATION</t>
  </si>
  <si>
    <t xml:space="preserve">Week: Nov 05 - Nov 07, 2025</t>
  </si>
  <si>
    <t xml:space="preserve">WHAT TO SELL TODAY (MONDAY)</t>
  </si>
  <si>
    <t xml:space="preserve">Stock</t>
  </si>
  <si>
    <t xml:space="preserve">Today Price</t>
  </si>
  <si>
    <t xml:space="preserve">Strike</t>
  </si>
  <si>
    <t xml:space="preserve">Contracts</t>
  </si>
  <si>
    <t xml:space="preserve">Premium/Share</t>
  </si>
  <si>
    <t xml:space="preserve">Total Premium</t>
  </si>
  <si>
    <t xml:space="preserve">Capital Needed</t>
  </si>
  <si>
    <t xml:space="preserve">Notes</t>
  </si>
  <si>
    <t xml:space="preserve">VXX</t>
  </si>
  <si>
    <t xml:space="preserve">Sell 35 PUT</t>
  </si>
  <si>
    <t xml:space="preserve">AMD</t>
  </si>
  <si>
    <t xml:space="preserve">Sell 250 PUT</t>
  </si>
  <si>
    <t xml:space="preserve">PLTR</t>
  </si>
  <si>
    <t xml:space="preserve">Sell 190 PUT</t>
  </si>
  <si>
    <t xml:space="preserve">F</t>
  </si>
  <si>
    <t xml:space="preserve">Sell 13 PUT</t>
  </si>
  <si>
    <t xml:space="preserve">TOTAL:</t>
  </si>
  <si>
    <t xml:space="preserve">FRIDAY RESULTS (FILL IN YELLOW ON FRIDAY)</t>
  </si>
  <si>
    <t xml:space="preserve">Friday Close</t>
  </si>
  <si>
    <t xml:space="preserve">Up/Down %</t>
  </si>
  <si>
    <t xml:space="preserve">Assigned?</t>
  </si>
  <si>
    <t xml:space="preserve">Premium</t>
  </si>
  <si>
    <t xml:space="preserve">Loss</t>
  </si>
  <si>
    <t xml:space="preserve">NET P&amp;L</t>
  </si>
  <si>
    <t xml:space="preserve">WEEKLY PROFIT/LOSS:</t>
  </si>
  <si>
    <t xml:space="preserve">WEEKLY RETURN %:</t>
  </si>
  <si>
    <t xml:space="preserve">HOW TO USE:</t>
  </si>
  <si>
    <t xml:space="preserve">1. TODAY: Review what you would sell (Section 1)</t>
  </si>
  <si>
    <t xml:space="preserve">2. FRIDAY: Fill in YELLOW cells (Friday closing price for each stock)</t>
  </si>
  <si>
    <t xml:space="preserve">3. Check your NET P&amp;L and weekly return!</t>
  </si>
  <si>
    <t xml:space="preserve">How it works:</t>
  </si>
  <si>
    <t xml:space="preserve">  - Today you SELL 1 PUT contract for each stock</t>
  </si>
  <si>
    <t xml:space="preserve">  - You collect ~$3956 total premium</t>
  </si>
  <si>
    <t xml:space="preserve">  - On Friday:</t>
  </si>
  <si>
    <t xml:space="preserve">      If stock ABOVE strike = PUT expires, you keep premium (PROFIT!)</t>
  </si>
  <si>
    <t xml:space="preserve">      If stock BELOW strike = You're assigned, buy 100 shares</t>
  </si>
  <si>
    <t xml:space="preserve">Example:</t>
  </si>
  <si>
    <t xml:space="preserve">  VXX closes Friday at $36 (above $35 strike)</t>
  </si>
  <si>
    <t xml:space="preserve">    Result: Keep $387 premium = PROFIT!</t>
  </si>
  <si>
    <t xml:space="preserve">  VXX closes Friday at $32 (below $35 strike)</t>
  </si>
  <si>
    <t xml:space="preserve">    Premium: $387</t>
  </si>
  <si>
    <t xml:space="preserve">    Loss: $($35-$32)*100 = $300</t>
  </si>
  <si>
    <t xml:space="preserve">    NET: $387 - $300 = DEPENDS ON NUMBERS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</si>
</sst>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0B4"/>
        <bgColor rgb="FFCCFF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0" t="s">
        <v>11</v>
      </c>
      <c r="B6" s="5" t="n">
        <v>34.8899993896484</v>
      </c>
      <c r="C6" s="5" t="n">
        <v>35</v>
      </c>
      <c r="D6" s="0" t="n">
        <v>1</v>
      </c>
      <c r="E6" s="5" t="n">
        <v>3.86539193894112</v>
      </c>
      <c r="F6" s="6" t="n">
        <v>386.539193894112</v>
      </c>
      <c r="G6" s="6" t="n">
        <v>3500</v>
      </c>
      <c r="H6" s="0" t="s">
        <v>12</v>
      </c>
    </row>
    <row r="7" customFormat="false" ht="15" hidden="false" customHeight="false" outlineLevel="0" collapsed="false">
      <c r="A7" s="0" t="s">
        <v>13</v>
      </c>
      <c r="B7" s="5" t="n">
        <v>250.050003051758</v>
      </c>
      <c r="C7" s="5" t="n">
        <v>250</v>
      </c>
      <c r="D7" s="0" t="n">
        <v>1</v>
      </c>
      <c r="E7" s="5" t="n">
        <v>19.0454895983882</v>
      </c>
      <c r="F7" s="6" t="n">
        <v>1904.54895983882</v>
      </c>
      <c r="G7" s="6" t="n">
        <v>25000</v>
      </c>
      <c r="H7" s="0" t="s">
        <v>14</v>
      </c>
    </row>
    <row r="8" customFormat="false" ht="15" hidden="false" customHeight="false" outlineLevel="0" collapsed="false">
      <c r="A8" s="0" t="s">
        <v>15</v>
      </c>
      <c r="B8" s="5" t="n">
        <v>190.740005493164</v>
      </c>
      <c r="C8" s="5" t="n">
        <v>190</v>
      </c>
      <c r="D8" s="0" t="n">
        <v>1</v>
      </c>
      <c r="E8" s="5" t="n">
        <v>15.8487724111055</v>
      </c>
      <c r="F8" s="6" t="n">
        <v>1584.87724111055</v>
      </c>
      <c r="G8" s="6" t="n">
        <v>19000</v>
      </c>
      <c r="H8" s="0" t="s">
        <v>16</v>
      </c>
    </row>
    <row r="9" customFormat="false" ht="15" hidden="false" customHeight="false" outlineLevel="0" collapsed="false">
      <c r="A9" s="0" t="s">
        <v>17</v>
      </c>
      <c r="B9" s="5" t="n">
        <v>12.789999961853</v>
      </c>
      <c r="C9" s="5" t="n">
        <v>13</v>
      </c>
      <c r="D9" s="0" t="n">
        <v>1</v>
      </c>
      <c r="E9" s="5" t="n">
        <v>0.797050144289424</v>
      </c>
      <c r="F9" s="6" t="n">
        <v>79.7050144289424</v>
      </c>
      <c r="G9" s="6" t="n">
        <v>1300</v>
      </c>
      <c r="H9" s="0" t="s">
        <v>18</v>
      </c>
    </row>
    <row r="10" customFormat="false" ht="15" hidden="false" customHeight="false" outlineLevel="0" collapsed="false">
      <c r="E10" s="7" t="s">
        <v>19</v>
      </c>
      <c r="F10" s="8" t="n">
        <f aca="false">SUM(F6:F9)</f>
        <v>3955.67040927242</v>
      </c>
      <c r="G10" s="8" t="n">
        <f aca="false">SUM(G6:G9)</f>
        <v>48800</v>
      </c>
    </row>
    <row r="13" customFormat="false" ht="15" hidden="false" customHeight="false" outlineLevel="0" collapsed="false">
      <c r="A13" s="9" t="s">
        <v>20</v>
      </c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4" t="s">
        <v>3</v>
      </c>
      <c r="B14" s="4" t="s">
        <v>21</v>
      </c>
      <c r="C14" s="4" t="s">
        <v>5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</row>
    <row r="15" customFormat="false" ht="15" hidden="false" customHeight="false" outlineLevel="0" collapsed="false">
      <c r="A15" s="0" t="s">
        <v>11</v>
      </c>
      <c r="B15" s="10" t="n">
        <v>36</v>
      </c>
      <c r="C15" s="5" t="n">
        <f aca="false">C6</f>
        <v>35</v>
      </c>
      <c r="D15" s="11" t="n">
        <f aca="false">IF(B15="","",(B15-B6)/B6)</f>
        <v>0.0318142914809248</v>
      </c>
      <c r="E15" s="0" t="str">
        <f aca="false">IF(B15="","",IF(B15&lt;C15,"YES","NO"))</f>
        <v>NO</v>
      </c>
      <c r="F15" s="6" t="n">
        <f aca="false">F6</f>
        <v>386.539193894112</v>
      </c>
      <c r="G15" s="6" t="n">
        <f aca="false">IF(E15="YES",(C15-B15)*100,0)</f>
        <v>0</v>
      </c>
      <c r="H15" s="6" t="n">
        <f aca="false">F15-G15</f>
        <v>386.539193894112</v>
      </c>
    </row>
    <row r="16" customFormat="false" ht="15" hidden="false" customHeight="false" outlineLevel="0" collapsed="false">
      <c r="A16" s="0" t="s">
        <v>13</v>
      </c>
      <c r="B16" s="10" t="n">
        <v>251</v>
      </c>
      <c r="C16" s="5" t="n">
        <f aca="false">C7</f>
        <v>250</v>
      </c>
      <c r="D16" s="11" t="n">
        <f aca="false">IF(B16="","",(B16-B7)/B7)</f>
        <v>0.00379922790101125</v>
      </c>
      <c r="E16" s="0" t="str">
        <f aca="false">IF(B16="","",IF(B16&lt;C16,"YES","NO"))</f>
        <v>NO</v>
      </c>
      <c r="F16" s="6" t="n">
        <f aca="false">F7</f>
        <v>1904.54895983882</v>
      </c>
      <c r="G16" s="6" t="n">
        <f aca="false">IF(E16="YES",(C16-B16)*100,0)</f>
        <v>0</v>
      </c>
      <c r="H16" s="6" t="n">
        <f aca="false">F16-G16</f>
        <v>1904.54895983882</v>
      </c>
    </row>
    <row r="17" customFormat="false" ht="15" hidden="false" customHeight="false" outlineLevel="0" collapsed="false">
      <c r="A17" s="0" t="s">
        <v>15</v>
      </c>
      <c r="B17" s="10" t="n">
        <v>189</v>
      </c>
      <c r="C17" s="5" t="n">
        <f aca="false">C8</f>
        <v>190</v>
      </c>
      <c r="D17" s="11" t="n">
        <f aca="false">IF(B17="","",(B17-B8)/B8)</f>
        <v>-0.00912239406025628</v>
      </c>
      <c r="E17" s="0" t="str">
        <f aca="false">IF(B17="","",IF(B17&lt;C17,"YES","NO"))</f>
        <v>YES</v>
      </c>
      <c r="F17" s="6" t="n">
        <f aca="false">F8</f>
        <v>1584.87724111055</v>
      </c>
      <c r="G17" s="6" t="n">
        <f aca="false">IF(E17="YES",(C17-B17)*100,0)</f>
        <v>100</v>
      </c>
      <c r="H17" s="6" t="n">
        <f aca="false">F17-G17</f>
        <v>1484.87724111055</v>
      </c>
    </row>
    <row r="18" customFormat="false" ht="15" hidden="false" customHeight="false" outlineLevel="0" collapsed="false">
      <c r="A18" s="0" t="s">
        <v>17</v>
      </c>
      <c r="B18" s="10" t="n">
        <v>13.1</v>
      </c>
      <c r="C18" s="5" t="n">
        <f aca="false">C9</f>
        <v>13</v>
      </c>
      <c r="D18" s="11" t="n">
        <f aca="false">IF(B18="","",(B18-B9)/B9)</f>
        <v>0.0242376887467995</v>
      </c>
      <c r="E18" s="0" t="str">
        <f aca="false">IF(B18="","",IF(B18&lt;C18,"YES","NO"))</f>
        <v>NO</v>
      </c>
      <c r="F18" s="6" t="n">
        <f aca="false">F9</f>
        <v>79.7050144289424</v>
      </c>
      <c r="G18" s="6" t="n">
        <f aca="false">IF(E18="YES",(C18-B18)*100,0)</f>
        <v>0</v>
      </c>
      <c r="H18" s="6" t="n">
        <f aca="false">F18-G18</f>
        <v>79.7050144289424</v>
      </c>
    </row>
    <row r="20" customFormat="false" ht="15" hidden="false" customHeight="false" outlineLevel="0" collapsed="false">
      <c r="A20" s="12" t="s">
        <v>27</v>
      </c>
      <c r="H20" s="13" t="n">
        <f aca="false">SUM(H15:H18)</f>
        <v>3855.67040927242</v>
      </c>
    </row>
    <row r="21" customFormat="false" ht="15" hidden="false" customHeight="false" outlineLevel="0" collapsed="false">
      <c r="A21" s="7" t="s">
        <v>28</v>
      </c>
      <c r="H21" s="14" t="n">
        <f aca="false">H20/SUM(G6:G9)</f>
        <v>0.079009639534271</v>
      </c>
    </row>
    <row r="24" customFormat="false" ht="15" hidden="false" customHeight="false" outlineLevel="0" collapsed="false">
      <c r="A24" s="15" t="s">
        <v>29</v>
      </c>
      <c r="B24" s="15"/>
      <c r="C24" s="15"/>
      <c r="D24" s="15"/>
      <c r="E24" s="15"/>
      <c r="F24" s="15"/>
      <c r="G24" s="15"/>
      <c r="H24" s="15"/>
    </row>
    <row r="25" customFormat="false" ht="15" hidden="false" customHeight="false" outlineLevel="0" collapsed="false">
      <c r="A25" s="16" t="s">
        <v>30</v>
      </c>
      <c r="B25" s="16"/>
      <c r="C25" s="16"/>
      <c r="D25" s="16"/>
      <c r="E25" s="16"/>
      <c r="F25" s="16"/>
      <c r="G25" s="16"/>
      <c r="H25" s="16"/>
    </row>
    <row r="26" customFormat="false" ht="15" hidden="false" customHeight="false" outlineLevel="0" collapsed="false">
      <c r="A26" s="16" t="s">
        <v>31</v>
      </c>
      <c r="B26" s="16"/>
      <c r="C26" s="16"/>
      <c r="D26" s="16"/>
      <c r="E26" s="16"/>
      <c r="F26" s="16"/>
      <c r="G26" s="16"/>
      <c r="H26" s="16"/>
    </row>
    <row r="27" customFormat="false" ht="15" hidden="false" customHeight="false" outlineLevel="0" collapsed="false">
      <c r="A27" s="16" t="s">
        <v>32</v>
      </c>
      <c r="B27" s="16"/>
      <c r="C27" s="16"/>
      <c r="D27" s="16"/>
      <c r="E27" s="16"/>
      <c r="F27" s="16"/>
      <c r="G27" s="16"/>
      <c r="H27" s="16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</row>
    <row r="29" customFormat="false" ht="15" hidden="false" customHeight="false" outlineLevel="0" collapsed="false">
      <c r="A29" s="16" t="s">
        <v>33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17" t="s">
        <v>34</v>
      </c>
      <c r="B30" s="17"/>
      <c r="C30" s="17"/>
      <c r="D30" s="17"/>
      <c r="E30" s="17"/>
      <c r="F30" s="17"/>
      <c r="G30" s="17"/>
      <c r="H30" s="17"/>
    </row>
    <row r="31" customFormat="false" ht="15" hidden="false" customHeight="false" outlineLevel="0" collapsed="false">
      <c r="A31" s="17" t="s">
        <v>35</v>
      </c>
      <c r="B31" s="17"/>
      <c r="C31" s="17"/>
      <c r="D31" s="17"/>
      <c r="E31" s="17"/>
      <c r="F31" s="17"/>
      <c r="G31" s="17"/>
      <c r="H31" s="17"/>
    </row>
    <row r="32" customFormat="false" ht="15" hidden="false" customHeight="false" outlineLevel="0" collapsed="false">
      <c r="A32" s="17" t="s">
        <v>36</v>
      </c>
      <c r="B32" s="17"/>
      <c r="C32" s="17"/>
      <c r="D32" s="17"/>
      <c r="E32" s="17"/>
      <c r="F32" s="17"/>
      <c r="G32" s="17"/>
      <c r="H32" s="17"/>
    </row>
    <row r="33" customFormat="false" ht="15" hidden="false" customHeight="false" outlineLevel="0" collapsed="false">
      <c r="A33" s="17" t="s">
        <v>37</v>
      </c>
      <c r="B33" s="17"/>
      <c r="C33" s="17"/>
      <c r="D33" s="17"/>
      <c r="E33" s="17"/>
      <c r="F33" s="17"/>
      <c r="G33" s="17"/>
      <c r="H33" s="17"/>
    </row>
    <row r="34" customFormat="false" ht="15" hidden="false" customHeight="false" outlineLevel="0" collapsed="false">
      <c r="A34" s="17" t="s">
        <v>38</v>
      </c>
      <c r="B34" s="17"/>
      <c r="C34" s="17"/>
      <c r="D34" s="17"/>
      <c r="E34" s="17"/>
      <c r="F34" s="17"/>
      <c r="G34" s="17"/>
      <c r="H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</row>
    <row r="36" customFormat="false" ht="15" hidden="false" customHeight="false" outlineLevel="0" collapsed="false">
      <c r="A36" s="16" t="s">
        <v>39</v>
      </c>
      <c r="B36" s="16"/>
      <c r="C36" s="16"/>
      <c r="D36" s="16"/>
      <c r="E36" s="16"/>
      <c r="F36" s="16"/>
      <c r="G36" s="16"/>
      <c r="H36" s="16"/>
    </row>
    <row r="37" customFormat="false" ht="15" hidden="false" customHeight="false" outlineLevel="0" collapsed="false">
      <c r="A37" s="17" t="s">
        <v>40</v>
      </c>
      <c r="B37" s="17"/>
      <c r="C37" s="17"/>
      <c r="D37" s="17"/>
      <c r="E37" s="17"/>
      <c r="F37" s="17"/>
      <c r="G37" s="17"/>
      <c r="H37" s="17"/>
    </row>
    <row r="38" customFormat="false" ht="15" hidden="false" customHeight="false" outlineLevel="0" collapsed="false">
      <c r="A38" s="17" t="s">
        <v>41</v>
      </c>
      <c r="B38" s="17"/>
      <c r="C38" s="17"/>
      <c r="D38" s="17"/>
      <c r="E38" s="17"/>
      <c r="F38" s="17"/>
      <c r="G38" s="17"/>
      <c r="H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</row>
    <row r="40" customFormat="false" ht="15" hidden="false" customHeight="false" outlineLevel="0" collapsed="false">
      <c r="A40" s="17" t="s">
        <v>42</v>
      </c>
      <c r="B40" s="17"/>
      <c r="C40" s="17"/>
      <c r="D40" s="17"/>
      <c r="E40" s="17"/>
      <c r="F40" s="17"/>
      <c r="G40" s="17"/>
      <c r="H40" s="17"/>
    </row>
    <row r="41" customFormat="false" ht="15" hidden="false" customHeight="false" outlineLevel="0" collapsed="false">
      <c r="A41" s="17" t="s">
        <v>43</v>
      </c>
      <c r="B41" s="17"/>
      <c r="C41" s="17"/>
      <c r="D41" s="17"/>
      <c r="E41" s="17"/>
      <c r="F41" s="17"/>
      <c r="G41" s="17"/>
      <c r="H41" s="17"/>
    </row>
    <row r="42" customFormat="false" ht="15" hidden="false" customHeight="false" outlineLevel="0" collapsed="false">
      <c r="A42" s="17" t="s">
        <v>44</v>
      </c>
      <c r="B42" s="17"/>
      <c r="C42" s="17"/>
      <c r="D42" s="17"/>
      <c r="E42" s="17"/>
      <c r="F42" s="17"/>
      <c r="G42" s="17"/>
      <c r="H42" s="17"/>
    </row>
    <row r="43" customFormat="false" ht="15" hidden="false" customHeight="false" outlineLevel="0" collapsed="false">
      <c r="A43" s="17" t="s">
        <v>45</v>
      </c>
      <c r="B43" s="17"/>
      <c r="C43" s="17"/>
      <c r="D43" s="17"/>
      <c r="E43" s="17"/>
      <c r="F43" s="17"/>
      <c r="G43" s="17"/>
      <c r="H43" s="17"/>
    </row>
  </sheetData>
  <mergeCells count="24">
    <mergeCell ref="A1:H1"/>
    <mergeCell ref="A2:H2"/>
    <mergeCell ref="A4:H4"/>
    <mergeCell ref="A13:H1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2025-11-05T14:13:08Z</dcterms:created>
  <dc:creator>openpyxl</dc:creator>
  <dc:description/>
  <dc:language>en-US</dc:language>
  <cp:lastModifiedBy/>
  <dcterms:modified xsi:type="dcterms:W3CDTF">2025-11-05T16:05:21Z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