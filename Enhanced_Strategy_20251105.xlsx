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Track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<sst xmlns="http://schemas.openxmlformats.org/spreadsheetml/2006/main" count="93" uniqueCount="75">
  <si>
    <t xml:space="preserve">WEEKLY OPTIONS STRATEGY - DETAILED TRACKER</t>
  </si>
  <si>
    <t xml:space="preserve">Week: 2025-11-05 to 2025-11-07</t>
  </si>
  <si>
    <t xml:space="preserve">Initial Capital: $50,000</t>
  </si>
  <si>
    <t xml:space="preserve">SECTION 1: POSITIONS ENTERED (MONDAY)</t>
  </si>
  <si>
    <t xml:space="preserve">Ticker</t>
  </si>
  <si>
    <t xml:space="preserve">Allocation %</t>
  </si>
  <si>
    <t xml:space="preserve">Capital</t>
  </si>
  <si>
    <t xml:space="preserve">Entry Price</t>
  </si>
  <si>
    <t xml:space="preserve">ATM Strike</t>
  </si>
  <si>
    <t xml:space="preserve">Premium/Share</t>
  </si>
  <si>
    <t xml:space="preserve">Contracts</t>
  </si>
  <si>
    <t xml:space="preserve">Total Premium</t>
  </si>
  <si>
    <t xml:space="preserve">Stop Loss %</t>
  </si>
  <si>
    <t xml:space="preserve">Max Loss $</t>
  </si>
  <si>
    <t xml:space="preserve">VXX</t>
  </si>
  <si>
    <t xml:space="preserve">25%</t>
  </si>
  <si>
    <t xml:space="preserve">30%</t>
  </si>
  <si>
    <t xml:space="preserve">COIN</t>
  </si>
  <si>
    <t xml:space="preserve">15%</t>
  </si>
  <si>
    <t xml:space="preserve">TSLA</t>
  </si>
  <si>
    <t xml:space="preserve">QQQ</t>
  </si>
  <si>
    <t xml:space="preserve">TOTAL PREMIUM TO COLLECT:</t>
  </si>
  <si>
    <t xml:space="preserve">SECTION 2: FRIDAY CLOSING RESULTS</t>
  </si>
  <si>
    <t xml:space="preserve">FILL IN YELLOW CELLS ON FRIDAY</t>
  </si>
  <si>
    <t xml:space="preserve">Friday Close</t>
  </si>
  <si>
    <t xml:space="preserve">Strike</t>
  </si>
  <si>
    <t xml:space="preserve">Stock Move %</t>
  </si>
  <si>
    <t xml:space="preserve">ITM?</t>
  </si>
  <si>
    <t xml:space="preserve">Assigned?</t>
  </si>
  <si>
    <t xml:space="preserve">Premium</t>
  </si>
  <si>
    <t xml:space="preserve">Assignment Loss</t>
  </si>
  <si>
    <t xml:space="preserve">Net P&amp;L</t>
  </si>
  <si>
    <t xml:space="preserve">Return %</t>
  </si>
  <si>
    <t xml:space="preserve">SECTION 3: DETAILED P&amp;L BREAKDOWN</t>
  </si>
  <si>
    <t xml:space="preserve">Total Premium Collected:</t>
  </si>
  <si>
    <t xml:space="preserve">Total Assignment Losses:</t>
  </si>
  <si>
    <t xml:space="preserve">NET WEEKLY P&amp;L:</t>
  </si>
  <si>
    <t xml:space="preserve">Weekly Return %:</t>
  </si>
  <si>
    <t xml:space="preserve">Annualized Return (52 weeks):</t>
  </si>
  <si>
    <t xml:space="preserve">Win Rate:</t>
  </si>
  <si>
    <t xml:space="preserve">Best Position:</t>
  </si>
  <si>
    <t xml:space="preserve">Worst Position:</t>
  </si>
  <si>
    <t xml:space="preserve">SECTION 4: POSITION-LEVEL ANALYSIS</t>
  </si>
  <si>
    <t xml:space="preserve">Allocated</t>
  </si>
  <si>
    <t xml:space="preserve">P&amp;L $</t>
  </si>
  <si>
    <t xml:space="preserve">Risk Level</t>
  </si>
  <si>
    <t xml:space="preserve">Stop Hit?</t>
  </si>
  <si>
    <t xml:space="preserve">Distance to Stop</t>
  </si>
  <si>
    <t xml:space="preserve">Status</t>
  </si>
  <si>
    <t xml:space="preserve">VXX Hedge</t>
  </si>
  <si>
    <t xml:space="preserve">Income</t>
  </si>
  <si>
    <t xml:space="preserve">HOW TO USE THIS TRACKER:</t>
  </si>
  <si>
    <t xml:space="preserve">MONDAY/TUESDAY (Setup):</t>
  </si>
  <si>
    <t xml:space="preserve">  1. Review Section 1 - these are the positions you would enter</t>
  </si>
  <si>
    <t xml:space="preserve">  2. Note the strikes, premiums, and number of contracts</t>
  </si>
  <si>
    <t xml:space="preserve">  3. Save this file</t>
  </si>
  <si>
    <t xml:space="preserve">FRIDAY (After Market Close):</t>
  </si>
  <si>
    <t xml:space="preserve">  OPTION A - Manual:</t>
  </si>
  <si>
    <t xml:space="preserve">    1. Look up closing prices for each ticker</t>
  </si>
  <si>
    <t xml:space="preserve">    2. Fill in YELLOW cells (Friday Close price)</t>
  </si>
  <si>
    <t xml:space="preserve">    3. Mark YES/NO for Assignment</t>
  </si>
  <si>
    <t xml:space="preserve">    4. All P&amp;L calculates automatically!</t>
  </si>
  <si>
    <t xml:space="preserve">  OPTION B - Automatic (RECOMMENDED):</t>
  </si>
  <si>
    <t xml:space="preserve">    1. Run: python friday_price_updater.py</t>
  </si>
  <si>
    <t xml:space="preserve">    2. Script fetches prices and fills everything</t>
  </si>
  <si>
    <t xml:space="preserve">    3. Just review the results!</t>
  </si>
  <si>
    <t xml:space="preserve">ANALYSIS:</t>
  </si>
  <si>
    <t xml:space="preserve">  • Section 3 shows total P&amp;L and key metrics</t>
  </si>
  <si>
    <t xml:space="preserve">  • Section 4 shows position-level analysis</t>
  </si>
  <si>
    <t xml:space="preserve">  • Check if any stops were hit</t>
  </si>
  <si>
    <t xml:space="preserve">  • Review win rate and best/worst positions</t>
  </si>
  <si>
    <t xml:space="preserve">NEXT WEEK:</t>
  </si>
  <si>
    <t xml:space="preserve">  • Run this script again for a new week</t>
  </si>
  <si>
    <t xml:space="preserve">  • Keep all weekly files to track progress</t>
  </si>
  <si>
    <t xml:space="preserve">  • After 4-6 weeks, you'll have real performance data!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</si>
</sst>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\$#,##0.00"/>
    <numFmt numFmtId="167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70C0"/>
      <name val="Cambria"/>
      <family val="0"/>
      <charset val="1"/>
    </font>
    <font>
      <sz val="11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2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i val="true"/>
      <sz val="11"/>
      <color rgb="FFC00000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sz val="9"/>
      <name val="Cambria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4472C4"/>
        <bgColor rgb="FF666699"/>
      </patternFill>
    </fill>
    <fill>
      <patternFill patternType="solid">
        <fgColor rgb="FFD9E1F2"/>
        <bgColor rgb="FFC6E0B4"/>
      </patternFill>
    </fill>
    <fill>
      <patternFill patternType="solid">
        <fgColor rgb="FFC00000"/>
        <bgColor rgb="FF800000"/>
      </patternFill>
    </fill>
    <fill>
      <patternFill patternType="solid">
        <fgColor rgb="FFFFF2CC"/>
        <bgColor rgb="FFFFFFFF"/>
      </patternFill>
    </fill>
    <fill>
      <patternFill patternType="solid">
        <fgColor rgb="FF00B050"/>
        <bgColor rgb="FF008080"/>
      </patternFill>
    </fill>
    <fill>
      <patternFill patternType="solid">
        <fgColor rgb="FFC6E0B4"/>
        <bgColor rgb="FFD9E1F2"/>
      </patternFill>
    </fill>
    <fill>
      <patternFill patternType="solid">
        <fgColor rgb="FFF4CCCC"/>
        <bgColor rgb="FFD9E1F2"/>
      </patternFill>
    </fill>
    <fill>
      <patternFill patternType="solid">
        <fgColor rgb="FF7030A0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7030A0"/>
      <rgbColor rgb="FFFFF2CC"/>
      <rgbColor rgb="FFCCFFFF"/>
      <rgbColor rgb="FF660066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2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17" activeCellId="0" sqref="B17"/>
    </sheetView>
  </sheetViews>
  <sheetFormatPr defaultColWidth="8.6796875" defaultRowHeight="15" customHeight="true" zeroHeight="false" outlineLevelRow="0" outlineLevelCol="0"/>
  <cols>
    <col collapsed="false" customWidth="true" hidden="false" outlineLevel="0" max="5" min="1" style="0" width="12"/>
    <col collapsed="false" customWidth="true" hidden="false" outlineLevel="0" max="6" min="6" style="0" width="15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10" min="9" style="0" width="12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26.85" hidden="false" customHeight="false" outlineLevel="0" collapsed="false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</row>
    <row r="7" customFormat="false" ht="15" hidden="false" customHeight="false" outlineLevel="0" collapsed="false">
      <c r="A7" s="0" t="s">
        <v>14</v>
      </c>
      <c r="B7" s="0" t="s">
        <v>15</v>
      </c>
      <c r="C7" s="6" t="n">
        <v>12500</v>
      </c>
      <c r="D7" s="7" t="n">
        <v>34.8899993896484</v>
      </c>
      <c r="E7" s="7" t="n">
        <v>35</v>
      </c>
      <c r="F7" s="7" t="n">
        <v>2.18</v>
      </c>
      <c r="G7" s="0" t="n">
        <v>3</v>
      </c>
      <c r="H7" s="7" t="n">
        <v>654</v>
      </c>
      <c r="I7" s="0" t="s">
        <v>16</v>
      </c>
      <c r="J7" s="6" t="n">
        <v>3750</v>
      </c>
    </row>
    <row r="8" customFormat="false" ht="15" hidden="false" customHeight="false" outlineLevel="0" collapsed="false">
      <c r="A8" s="0" t="s">
        <v>17</v>
      </c>
      <c r="B8" s="0" t="s">
        <v>15</v>
      </c>
      <c r="C8" s="6" t="n">
        <v>12500</v>
      </c>
      <c r="D8" s="7" t="n">
        <v>307.320007324219</v>
      </c>
      <c r="E8" s="7" t="n">
        <v>310</v>
      </c>
      <c r="F8" s="7" t="n">
        <v>16.33</v>
      </c>
      <c r="G8" s="0" t="n">
        <v>0</v>
      </c>
      <c r="H8" s="7" t="n">
        <v>0</v>
      </c>
      <c r="I8" s="0" t="s">
        <v>18</v>
      </c>
      <c r="J8" s="6" t="n">
        <v>1875</v>
      </c>
    </row>
    <row r="9" customFormat="false" ht="15" hidden="false" customHeight="false" outlineLevel="0" collapsed="false">
      <c r="A9" s="0" t="s">
        <v>19</v>
      </c>
      <c r="B9" s="0" t="s">
        <v>15</v>
      </c>
      <c r="C9" s="6" t="n">
        <v>12500</v>
      </c>
      <c r="D9" s="7" t="n">
        <v>444.260009765625</v>
      </c>
      <c r="E9" s="7" t="n">
        <v>440</v>
      </c>
      <c r="F9" s="7" t="n">
        <v>16.44</v>
      </c>
      <c r="G9" s="0" t="n">
        <v>0</v>
      </c>
      <c r="H9" s="7" t="n">
        <v>0</v>
      </c>
      <c r="I9" s="0" t="s">
        <v>18</v>
      </c>
      <c r="J9" s="6" t="n">
        <v>1875</v>
      </c>
    </row>
    <row r="10" customFormat="false" ht="15" hidden="false" customHeight="false" outlineLevel="0" collapsed="false">
      <c r="A10" s="0" t="s">
        <v>20</v>
      </c>
      <c r="B10" s="0" t="s">
        <v>18</v>
      </c>
      <c r="C10" s="6" t="n">
        <v>7500</v>
      </c>
      <c r="D10" s="7" t="n">
        <v>619.25</v>
      </c>
      <c r="E10" s="7" t="n">
        <v>620</v>
      </c>
      <c r="F10" s="7" t="n">
        <v>12.21</v>
      </c>
      <c r="G10" s="0" t="n">
        <v>0</v>
      </c>
      <c r="H10" s="7" t="n">
        <v>0</v>
      </c>
      <c r="I10" s="0" t="s">
        <v>18</v>
      </c>
      <c r="J10" s="6" t="n">
        <v>1125</v>
      </c>
    </row>
    <row r="11" customFormat="false" ht="15" hidden="false" customHeight="false" outlineLevel="0" collapsed="false">
      <c r="A11" s="8" t="s">
        <v>21</v>
      </c>
      <c r="H11" s="9" t="n">
        <f aca="false">SUM(H7:H10)</f>
        <v>654</v>
      </c>
    </row>
    <row r="14" customFormat="false" ht="15" hidden="false" customHeight="false" outlineLevel="0" collapsed="false">
      <c r="A14" s="10" t="s">
        <v>22</v>
      </c>
      <c r="B14" s="10"/>
      <c r="C14" s="10"/>
      <c r="D14" s="10"/>
      <c r="E14" s="10"/>
      <c r="F14" s="10"/>
      <c r="G14" s="10"/>
      <c r="H14" s="10"/>
      <c r="I14" s="10"/>
      <c r="J14" s="10"/>
    </row>
    <row r="15" customFormat="false" ht="15" hidden="false" customHeight="false" outlineLevel="0" collapsed="false">
      <c r="A15" s="11" t="s">
        <v>23</v>
      </c>
      <c r="B15" s="11"/>
      <c r="C15" s="11"/>
      <c r="D15" s="11"/>
      <c r="E15" s="11"/>
      <c r="F15" s="11"/>
      <c r="G15" s="11"/>
      <c r="H15" s="11"/>
      <c r="I15" s="11"/>
      <c r="J15" s="11"/>
    </row>
    <row r="16" customFormat="false" ht="26.85" hidden="false" customHeight="false" outlineLevel="0" collapsed="false">
      <c r="A16" s="5" t="s">
        <v>4</v>
      </c>
      <c r="B16" s="5" t="s">
        <v>24</v>
      </c>
      <c r="C16" s="5" t="s">
        <v>25</v>
      </c>
      <c r="D16" s="5" t="s">
        <v>26</v>
      </c>
      <c r="E16" s="5" t="s">
        <v>27</v>
      </c>
      <c r="F16" s="5" t="s">
        <v>28</v>
      </c>
      <c r="G16" s="5" t="s">
        <v>29</v>
      </c>
      <c r="H16" s="5" t="s">
        <v>30</v>
      </c>
      <c r="I16" s="5" t="s">
        <v>31</v>
      </c>
      <c r="J16" s="5" t="s">
        <v>32</v>
      </c>
    </row>
    <row r="17" customFormat="false" ht="15" hidden="false" customHeight="false" outlineLevel="0" collapsed="false">
      <c r="A17" s="0" t="s">
        <v>14</v>
      </c>
      <c r="B17" s="12"/>
      <c r="C17" s="7" t="n">
        <f aca="false">E7</f>
        <v>35</v>
      </c>
      <c r="D17" s="13" t="n">
        <f aca="false">(B17-D7)/D7</f>
        <v>-1</v>
      </c>
      <c r="E17" s="0" t="str">
        <f aca="false">IF(B17&lt;C17,"YES","NO")</f>
        <v>YES</v>
      </c>
      <c r="F17" s="14"/>
      <c r="G17" s="7" t="n">
        <f aca="false">H7</f>
        <v>654</v>
      </c>
      <c r="H17" s="7" t="n">
        <f aca="false">IF(F17="YES", (C17-B17)*100*G7, 0)</f>
        <v>0</v>
      </c>
      <c r="I17" s="7" t="n">
        <f aca="false">G17-H17</f>
        <v>654</v>
      </c>
      <c r="J17" s="13" t="n">
        <f aca="false">I17/C7</f>
        <v>0.05232</v>
      </c>
    </row>
    <row r="18" customFormat="false" ht="15" hidden="false" customHeight="false" outlineLevel="0" collapsed="false">
      <c r="A18" s="0" t="s">
        <v>17</v>
      </c>
      <c r="B18" s="12"/>
      <c r="C18" s="7" t="n">
        <f aca="false">E8</f>
        <v>310</v>
      </c>
      <c r="D18" s="13" t="n">
        <f aca="false">(B18-D8)/D8</f>
        <v>-1</v>
      </c>
      <c r="E18" s="0" t="str">
        <f aca="false">IF(B18&lt;C18,"YES","NO")</f>
        <v>YES</v>
      </c>
      <c r="F18" s="14"/>
      <c r="G18" s="7" t="n">
        <f aca="false">H8</f>
        <v>0</v>
      </c>
      <c r="H18" s="7" t="n">
        <f aca="false">IF(F18="YES", (C18-B18)*100*G8, 0)</f>
        <v>0</v>
      </c>
      <c r="I18" s="7" t="n">
        <f aca="false">G18-H18</f>
        <v>0</v>
      </c>
      <c r="J18" s="13" t="n">
        <f aca="false">I18/C8</f>
        <v>0</v>
      </c>
    </row>
    <row r="19" customFormat="false" ht="15" hidden="false" customHeight="false" outlineLevel="0" collapsed="false">
      <c r="A19" s="0" t="s">
        <v>19</v>
      </c>
      <c r="B19" s="12"/>
      <c r="C19" s="7" t="n">
        <f aca="false">E9</f>
        <v>440</v>
      </c>
      <c r="D19" s="13" t="n">
        <f aca="false">(B19-D9)/D9</f>
        <v>-1</v>
      </c>
      <c r="E19" s="0" t="str">
        <f aca="false">IF(B19&lt;C19,"YES","NO")</f>
        <v>YES</v>
      </c>
      <c r="F19" s="14"/>
      <c r="G19" s="7" t="n">
        <f aca="false">H9</f>
        <v>0</v>
      </c>
      <c r="H19" s="7" t="n">
        <f aca="false">IF(F19="YES", (C19-B19)*100*G9, 0)</f>
        <v>0</v>
      </c>
      <c r="I19" s="7" t="n">
        <f aca="false">G19-H19</f>
        <v>0</v>
      </c>
      <c r="J19" s="13" t="n">
        <f aca="false">I19/C9</f>
        <v>0</v>
      </c>
    </row>
    <row r="20" customFormat="false" ht="15" hidden="false" customHeight="false" outlineLevel="0" collapsed="false">
      <c r="A20" s="0" t="s">
        <v>20</v>
      </c>
      <c r="B20" s="12"/>
      <c r="C20" s="7" t="n">
        <f aca="false">E10</f>
        <v>620</v>
      </c>
      <c r="D20" s="13" t="n">
        <f aca="false">(B20-D10)/D10</f>
        <v>-1</v>
      </c>
      <c r="E20" s="0" t="str">
        <f aca="false">IF(B20&lt;C20,"YES","NO")</f>
        <v>YES</v>
      </c>
      <c r="F20" s="14"/>
      <c r="G20" s="7" t="n">
        <f aca="false">H10</f>
        <v>0</v>
      </c>
      <c r="H20" s="7" t="n">
        <f aca="false">IF(F20="YES", (C20-B20)*100*G10, 0)</f>
        <v>0</v>
      </c>
      <c r="I20" s="7" t="n">
        <f aca="false">G20-H20</f>
        <v>0</v>
      </c>
      <c r="J20" s="13" t="n">
        <f aca="false">I20/C10</f>
        <v>0</v>
      </c>
    </row>
    <row r="23" customFormat="false" ht="15" hidden="false" customHeight="false" outlineLevel="0" collapsed="false">
      <c r="A23" s="15" t="s">
        <v>33</v>
      </c>
      <c r="B23" s="15"/>
      <c r="C23" s="15"/>
      <c r="D23" s="15"/>
      <c r="E23" s="15"/>
    </row>
    <row r="24" customFormat="false" ht="15" hidden="false" customHeight="false" outlineLevel="0" collapsed="false">
      <c r="A24" s="8" t="s">
        <v>34</v>
      </c>
      <c r="C24" s="16" t="n">
        <f aca="false">SUM(G17:G20)</f>
        <v>654</v>
      </c>
    </row>
    <row r="25" customFormat="false" ht="15" hidden="false" customHeight="false" outlineLevel="0" collapsed="false">
      <c r="A25" s="8" t="s">
        <v>35</v>
      </c>
      <c r="C25" s="17" t="n">
        <f aca="false">SUM(H17:H20)</f>
        <v>0</v>
      </c>
    </row>
    <row r="26" customFormat="false" ht="15" hidden="false" customHeight="false" outlineLevel="0" collapsed="false">
      <c r="A26" s="8" t="s">
        <v>36</v>
      </c>
      <c r="C26" s="16" t="n">
        <f aca="false">SUM(I17:I20)</f>
        <v>654</v>
      </c>
    </row>
    <row r="27" customFormat="false" ht="15" hidden="false" customHeight="false" outlineLevel="0" collapsed="false">
      <c r="A27" s="8" t="s">
        <v>37</v>
      </c>
      <c r="C27" s="18" t="n">
        <f aca="false">C26/50000</f>
        <v>0.01308</v>
      </c>
    </row>
    <row r="29" customFormat="false" ht="15" hidden="false" customHeight="false" outlineLevel="0" collapsed="false">
      <c r="A29" s="8" t="s">
        <v>38</v>
      </c>
      <c r="C29" s="9" t="n">
        <f aca="false">POWER(1+C27,52)-1</f>
        <v>0.965506878968019</v>
      </c>
    </row>
    <row r="30" customFormat="false" ht="15" hidden="false" customHeight="false" outlineLevel="0" collapsed="false">
      <c r="A30" s="8" t="s">
        <v>39</v>
      </c>
      <c r="C30" s="9" t="n">
        <f aca="false">COUNTIF(I17:I20,"&gt;0")/COUNTA(I17:I20)</f>
        <v>0.25</v>
      </c>
    </row>
    <row r="31" customFormat="false" ht="15" hidden="false" customHeight="false" outlineLevel="0" collapsed="false">
      <c r="A31" s="8" t="s">
        <v>40</v>
      </c>
      <c r="C31" s="9" t="n">
        <f aca="false">MAX(I17:I20)</f>
        <v>654</v>
      </c>
    </row>
    <row r="32" customFormat="false" ht="15" hidden="false" customHeight="false" outlineLevel="0" collapsed="false">
      <c r="A32" s="8" t="s">
        <v>41</v>
      </c>
      <c r="C32" s="17" t="n">
        <f aca="false">MIN(I17:I20)</f>
        <v>0</v>
      </c>
    </row>
    <row r="35" customFormat="false" ht="15" hidden="false" customHeight="false" outlineLevel="0" collapsed="false">
      <c r="A35" s="19" t="s">
        <v>42</v>
      </c>
      <c r="B35" s="19"/>
      <c r="C35" s="19"/>
      <c r="D35" s="19"/>
      <c r="E35" s="19"/>
      <c r="F35" s="19"/>
      <c r="G35" s="19"/>
      <c r="H35" s="19"/>
    </row>
    <row r="36" customFormat="false" ht="26.85" hidden="false" customHeight="false" outlineLevel="0" collapsed="false">
      <c r="A36" s="5" t="s">
        <v>4</v>
      </c>
      <c r="B36" s="5" t="s">
        <v>43</v>
      </c>
      <c r="C36" s="5" t="s">
        <v>44</v>
      </c>
      <c r="D36" s="5" t="s">
        <v>32</v>
      </c>
      <c r="E36" s="5" t="s">
        <v>45</v>
      </c>
      <c r="F36" s="5" t="s">
        <v>46</v>
      </c>
      <c r="G36" s="5" t="s">
        <v>47</v>
      </c>
      <c r="H36" s="5" t="s">
        <v>48</v>
      </c>
    </row>
    <row r="37" customFormat="false" ht="15" hidden="false" customHeight="false" outlineLevel="0" collapsed="false">
      <c r="A37" s="0" t="s">
        <v>14</v>
      </c>
      <c r="B37" s="6" t="n">
        <f aca="false">C7</f>
        <v>12500</v>
      </c>
      <c r="C37" s="7" t="n">
        <f aca="false">I17</f>
        <v>654</v>
      </c>
      <c r="D37" s="13" t="n">
        <f aca="false">J17</f>
        <v>0.05232</v>
      </c>
      <c r="E37" s="0" t="s">
        <v>49</v>
      </c>
      <c r="F37" s="0" t="str">
        <f aca="false">IF(J17&lt;-0.3,"YES","NO")</f>
        <v>NO</v>
      </c>
      <c r="G37" s="13" t="n">
        <f aca="false">0.3+J17</f>
        <v>0.35232</v>
      </c>
      <c r="H37" s="0" t="str">
        <f aca="false">IF(F37="YES","STOPPED OUT",IF(J17&gt;0,"WINNER","LOSER"))</f>
        <v>WINNER</v>
      </c>
    </row>
    <row r="38" customFormat="false" ht="15" hidden="false" customHeight="false" outlineLevel="0" collapsed="false">
      <c r="A38" s="0" t="s">
        <v>17</v>
      </c>
      <c r="B38" s="6" t="n">
        <f aca="false">C8</f>
        <v>12500</v>
      </c>
      <c r="C38" s="7" t="n">
        <f aca="false">I18</f>
        <v>0</v>
      </c>
      <c r="D38" s="13" t="n">
        <f aca="false">J18</f>
        <v>0</v>
      </c>
      <c r="E38" s="0" t="s">
        <v>50</v>
      </c>
      <c r="F38" s="0" t="str">
        <f aca="false">IF(J18&lt;-0.15,"YES","NO")</f>
        <v>NO</v>
      </c>
      <c r="G38" s="13" t="n">
        <f aca="false">0.15+J18</f>
        <v>0.15</v>
      </c>
      <c r="H38" s="0" t="str">
        <f aca="false">IF(F38="YES","STOPPED OUT",IF(J18&gt;0,"WINNER","LOSER"))</f>
        <v>LOSER</v>
      </c>
    </row>
    <row r="39" customFormat="false" ht="15" hidden="false" customHeight="false" outlineLevel="0" collapsed="false">
      <c r="A39" s="0" t="s">
        <v>19</v>
      </c>
      <c r="B39" s="6" t="n">
        <f aca="false">C9</f>
        <v>12500</v>
      </c>
      <c r="C39" s="7" t="n">
        <f aca="false">I19</f>
        <v>0</v>
      </c>
      <c r="D39" s="13" t="n">
        <f aca="false">J19</f>
        <v>0</v>
      </c>
      <c r="E39" s="0" t="s">
        <v>50</v>
      </c>
      <c r="F39" s="0" t="str">
        <f aca="false">IF(J19&lt;-0.15,"YES","NO")</f>
        <v>NO</v>
      </c>
      <c r="G39" s="13" t="n">
        <f aca="false">0.15+J19</f>
        <v>0.15</v>
      </c>
      <c r="H39" s="0" t="str">
        <f aca="false">IF(F39="YES","STOPPED OUT",IF(J19&gt;0,"WINNER","LOSER"))</f>
        <v>LOSER</v>
      </c>
    </row>
    <row r="40" customFormat="false" ht="15" hidden="false" customHeight="false" outlineLevel="0" collapsed="false">
      <c r="A40" s="0" t="s">
        <v>20</v>
      </c>
      <c r="B40" s="6" t="n">
        <f aca="false">C10</f>
        <v>7500</v>
      </c>
      <c r="C40" s="7" t="n">
        <f aca="false">I20</f>
        <v>0</v>
      </c>
      <c r="D40" s="13" t="n">
        <f aca="false">J20</f>
        <v>0</v>
      </c>
      <c r="E40" s="0" t="s">
        <v>50</v>
      </c>
      <c r="F40" s="0" t="str">
        <f aca="false">IF(J20&lt;-0.15,"YES","NO")</f>
        <v>NO</v>
      </c>
      <c r="G40" s="13" t="n">
        <f aca="false">0.15+J20</f>
        <v>0.15</v>
      </c>
      <c r="H40" s="0" t="str">
        <f aca="false">IF(F40="YES","STOPPED OUT",IF(J20&gt;0,"WINNER","LOSER"))</f>
        <v>LOSER</v>
      </c>
    </row>
    <row r="44" customFormat="false" ht="15" hidden="false" customHeight="false" outlineLevel="0" collapsed="false">
      <c r="A44" s="20" t="s">
        <v>51</v>
      </c>
      <c r="B44" s="20"/>
      <c r="C44" s="20"/>
      <c r="D44" s="20"/>
      <c r="E44" s="20"/>
      <c r="F44" s="20"/>
      <c r="G44" s="20"/>
      <c r="H44" s="20"/>
      <c r="I44" s="20"/>
      <c r="J44" s="20"/>
    </row>
    <row r="45" customFormat="false" ht="15" hidden="false" customHeight="false" outlineLevel="0" collapsed="false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customFormat="false" ht="15" hidden="false" customHeight="false" outlineLevel="0" collapsed="false">
      <c r="A46" s="22" t="s">
        <v>52</v>
      </c>
      <c r="B46" s="22"/>
      <c r="C46" s="22"/>
      <c r="D46" s="22"/>
      <c r="E46" s="22"/>
      <c r="F46" s="22"/>
      <c r="G46" s="22"/>
      <c r="H46" s="22"/>
      <c r="I46" s="22"/>
      <c r="J46" s="22"/>
    </row>
    <row r="47" customFormat="false" ht="15" hidden="false" customHeight="false" outlineLevel="0" collapsed="false">
      <c r="A47" s="23" t="s">
        <v>53</v>
      </c>
      <c r="B47" s="23"/>
      <c r="C47" s="23"/>
      <c r="D47" s="23"/>
      <c r="E47" s="23"/>
      <c r="F47" s="23"/>
      <c r="G47" s="23"/>
      <c r="H47" s="23"/>
      <c r="I47" s="23"/>
      <c r="J47" s="23"/>
    </row>
    <row r="48" customFormat="false" ht="15" hidden="false" customHeight="false" outlineLevel="0" collapsed="false">
      <c r="A48" s="23" t="s">
        <v>54</v>
      </c>
      <c r="B48" s="23"/>
      <c r="C48" s="23"/>
      <c r="D48" s="23"/>
      <c r="E48" s="23"/>
      <c r="F48" s="23"/>
      <c r="G48" s="23"/>
      <c r="H48" s="23"/>
      <c r="I48" s="23"/>
      <c r="J48" s="23"/>
    </row>
    <row r="49" customFormat="false" ht="15" hidden="false" customHeight="false" outlineLevel="0" collapsed="false">
      <c r="A49" s="23" t="s">
        <v>55</v>
      </c>
      <c r="B49" s="23"/>
      <c r="C49" s="23"/>
      <c r="D49" s="23"/>
      <c r="E49" s="23"/>
      <c r="F49" s="23"/>
      <c r="G49" s="23"/>
      <c r="H49" s="23"/>
      <c r="I49" s="23"/>
      <c r="J49" s="23"/>
    </row>
    <row r="50" customFormat="false" ht="15" hidden="false" customHeight="false" outlineLevel="0" collapsed="false">
      <c r="A50" s="21"/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15" hidden="false" customHeight="false" outlineLevel="0" collapsed="false">
      <c r="A51" s="22" t="s">
        <v>56</v>
      </c>
      <c r="B51" s="22"/>
      <c r="C51" s="22"/>
      <c r="D51" s="22"/>
      <c r="E51" s="22"/>
      <c r="F51" s="22"/>
      <c r="G51" s="22"/>
      <c r="H51" s="22"/>
      <c r="I51" s="22"/>
      <c r="J51" s="22"/>
    </row>
    <row r="52" customFormat="false" ht="15" hidden="false" customHeight="false" outlineLevel="0" collapsed="false">
      <c r="A52" s="23" t="s">
        <v>57</v>
      </c>
      <c r="B52" s="23"/>
      <c r="C52" s="23"/>
      <c r="D52" s="23"/>
      <c r="E52" s="23"/>
      <c r="F52" s="23"/>
      <c r="G52" s="23"/>
      <c r="H52" s="23"/>
      <c r="I52" s="23"/>
      <c r="J52" s="23"/>
    </row>
    <row r="53" customFormat="false" ht="15" hidden="false" customHeight="false" outlineLevel="0" collapsed="false">
      <c r="A53" s="23" t="s">
        <v>58</v>
      </c>
      <c r="B53" s="23"/>
      <c r="C53" s="23"/>
      <c r="D53" s="23"/>
      <c r="E53" s="23"/>
      <c r="F53" s="23"/>
      <c r="G53" s="23"/>
      <c r="H53" s="23"/>
      <c r="I53" s="23"/>
      <c r="J53" s="23"/>
    </row>
    <row r="54" customFormat="false" ht="15" hidden="false" customHeight="false" outlineLevel="0" collapsed="false">
      <c r="A54" s="23" t="s">
        <v>59</v>
      </c>
      <c r="B54" s="23"/>
      <c r="C54" s="23"/>
      <c r="D54" s="23"/>
      <c r="E54" s="23"/>
      <c r="F54" s="23"/>
      <c r="G54" s="23"/>
      <c r="H54" s="23"/>
      <c r="I54" s="23"/>
      <c r="J54" s="23"/>
    </row>
    <row r="55" customFormat="false" ht="15" hidden="false" customHeight="false" outlineLevel="0" collapsed="false">
      <c r="A55" s="23" t="s">
        <v>60</v>
      </c>
      <c r="B55" s="23"/>
      <c r="C55" s="23"/>
      <c r="D55" s="23"/>
      <c r="E55" s="23"/>
      <c r="F55" s="23"/>
      <c r="G55" s="23"/>
      <c r="H55" s="23"/>
      <c r="I55" s="23"/>
      <c r="J55" s="23"/>
    </row>
    <row r="56" customFormat="false" ht="15" hidden="false" customHeight="false" outlineLevel="0" collapsed="false">
      <c r="A56" s="23" t="s">
        <v>61</v>
      </c>
      <c r="B56" s="23"/>
      <c r="C56" s="23"/>
      <c r="D56" s="23"/>
      <c r="E56" s="23"/>
      <c r="F56" s="23"/>
      <c r="G56" s="23"/>
      <c r="H56" s="23"/>
      <c r="I56" s="23"/>
      <c r="J56" s="23"/>
    </row>
    <row r="57" customFormat="false" ht="15" hidden="false" customHeight="false" outlineLevel="0" collapsed="false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customFormat="false" ht="15" hidden="false" customHeight="false" outlineLevel="0" collapsed="false">
      <c r="A58" s="23" t="s">
        <v>62</v>
      </c>
      <c r="B58" s="23"/>
      <c r="C58" s="23"/>
      <c r="D58" s="23"/>
      <c r="E58" s="23"/>
      <c r="F58" s="23"/>
      <c r="G58" s="23"/>
      <c r="H58" s="23"/>
      <c r="I58" s="23"/>
      <c r="J58" s="23"/>
    </row>
    <row r="59" customFormat="false" ht="15" hidden="false" customHeight="false" outlineLevel="0" collapsed="false">
      <c r="A59" s="23" t="s">
        <v>63</v>
      </c>
      <c r="B59" s="23"/>
      <c r="C59" s="23"/>
      <c r="D59" s="23"/>
      <c r="E59" s="23"/>
      <c r="F59" s="23"/>
      <c r="G59" s="23"/>
      <c r="H59" s="23"/>
      <c r="I59" s="23"/>
      <c r="J59" s="23"/>
    </row>
    <row r="60" customFormat="false" ht="15" hidden="false" customHeight="false" outlineLevel="0" collapsed="false">
      <c r="A60" s="23" t="s">
        <v>64</v>
      </c>
      <c r="B60" s="23"/>
      <c r="C60" s="23"/>
      <c r="D60" s="23"/>
      <c r="E60" s="23"/>
      <c r="F60" s="23"/>
      <c r="G60" s="23"/>
      <c r="H60" s="23"/>
      <c r="I60" s="23"/>
      <c r="J60" s="23"/>
    </row>
    <row r="61" customFormat="false" ht="15" hidden="false" customHeight="false" outlineLevel="0" collapsed="false">
      <c r="A61" s="23" t="s">
        <v>65</v>
      </c>
      <c r="B61" s="23"/>
      <c r="C61" s="23"/>
      <c r="D61" s="23"/>
      <c r="E61" s="23"/>
      <c r="F61" s="23"/>
      <c r="G61" s="23"/>
      <c r="H61" s="23"/>
      <c r="I61" s="23"/>
      <c r="J61" s="23"/>
    </row>
    <row r="62" customFormat="false" ht="15" hidden="false" customHeight="false" outlineLevel="0" collapsed="false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customFormat="false" ht="15" hidden="false" customHeight="false" outlineLevel="0" collapsed="false">
      <c r="A63" s="22" t="s">
        <v>66</v>
      </c>
      <c r="B63" s="22"/>
      <c r="C63" s="22"/>
      <c r="D63" s="22"/>
      <c r="E63" s="22"/>
      <c r="F63" s="22"/>
      <c r="G63" s="22"/>
      <c r="H63" s="22"/>
      <c r="I63" s="22"/>
      <c r="J63" s="22"/>
    </row>
    <row r="64" customFormat="false" ht="15" hidden="false" customHeight="false" outlineLevel="0" collapsed="false">
      <c r="A64" s="23" t="s">
        <v>67</v>
      </c>
      <c r="B64" s="23"/>
      <c r="C64" s="23"/>
      <c r="D64" s="23"/>
      <c r="E64" s="23"/>
      <c r="F64" s="23"/>
      <c r="G64" s="23"/>
      <c r="H64" s="23"/>
      <c r="I64" s="23"/>
      <c r="J64" s="23"/>
    </row>
    <row r="65" customFormat="false" ht="15" hidden="false" customHeight="false" outlineLevel="0" collapsed="false">
      <c r="A65" s="23" t="s">
        <v>68</v>
      </c>
      <c r="B65" s="23"/>
      <c r="C65" s="23"/>
      <c r="D65" s="23"/>
      <c r="E65" s="23"/>
      <c r="F65" s="23"/>
      <c r="G65" s="23"/>
      <c r="H65" s="23"/>
      <c r="I65" s="23"/>
      <c r="J65" s="23"/>
    </row>
    <row r="66" customFormat="false" ht="15" hidden="false" customHeight="false" outlineLevel="0" collapsed="false">
      <c r="A66" s="23" t="s">
        <v>69</v>
      </c>
      <c r="B66" s="23"/>
      <c r="C66" s="23"/>
      <c r="D66" s="23"/>
      <c r="E66" s="23"/>
      <c r="F66" s="23"/>
      <c r="G66" s="23"/>
      <c r="H66" s="23"/>
      <c r="I66" s="23"/>
      <c r="J66" s="23"/>
    </row>
    <row r="67" customFormat="false" ht="15" hidden="false" customHeight="false" outlineLevel="0" collapsed="false">
      <c r="A67" s="23" t="s">
        <v>70</v>
      </c>
      <c r="B67" s="23"/>
      <c r="C67" s="23"/>
      <c r="D67" s="23"/>
      <c r="E67" s="23"/>
      <c r="F67" s="23"/>
      <c r="G67" s="23"/>
      <c r="H67" s="23"/>
      <c r="I67" s="23"/>
      <c r="J67" s="23"/>
    </row>
    <row r="68" customFormat="false" ht="15" hidden="false" customHeight="false" outlineLevel="0" collapsed="false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customFormat="false" ht="15" hidden="false" customHeight="false" outlineLevel="0" collapsed="false">
      <c r="A69" s="22" t="s">
        <v>71</v>
      </c>
      <c r="B69" s="22"/>
      <c r="C69" s="22"/>
      <c r="D69" s="22"/>
      <c r="E69" s="22"/>
      <c r="F69" s="22"/>
      <c r="G69" s="22"/>
      <c r="H69" s="22"/>
      <c r="I69" s="22"/>
      <c r="J69" s="22"/>
    </row>
    <row r="70" customFormat="false" ht="15" hidden="false" customHeight="false" outlineLevel="0" collapsed="false">
      <c r="A70" s="23" t="s">
        <v>72</v>
      </c>
      <c r="B70" s="23"/>
      <c r="C70" s="23"/>
      <c r="D70" s="23"/>
      <c r="E70" s="23"/>
      <c r="F70" s="23"/>
      <c r="G70" s="23"/>
      <c r="H70" s="23"/>
      <c r="I70" s="23"/>
      <c r="J70" s="23"/>
    </row>
    <row r="71" customFormat="false" ht="15" hidden="false" customHeight="false" outlineLevel="0" collapsed="false">
      <c r="A71" s="23" t="s">
        <v>73</v>
      </c>
      <c r="B71" s="23"/>
      <c r="C71" s="23"/>
      <c r="D71" s="23"/>
      <c r="E71" s="23"/>
      <c r="F71" s="23"/>
      <c r="G71" s="23"/>
      <c r="H71" s="23"/>
      <c r="I71" s="23"/>
      <c r="J71" s="23"/>
    </row>
    <row r="72" customFormat="false" ht="15" hidden="false" customHeight="false" outlineLevel="0" collapsed="false">
      <c r="A72" s="23" t="s">
        <v>74</v>
      </c>
      <c r="B72" s="23"/>
      <c r="C72" s="23"/>
      <c r="D72" s="23"/>
      <c r="E72" s="23"/>
      <c r="F72" s="23"/>
      <c r="G72" s="23"/>
      <c r="H72" s="23"/>
      <c r="I72" s="23"/>
      <c r="J72" s="23"/>
    </row>
  </sheetData>
  <mergeCells count="36">
    <mergeCell ref="A1:J1"/>
    <mergeCell ref="A2:J2"/>
    <mergeCell ref="A5:J5"/>
    <mergeCell ref="A14:J14"/>
    <mergeCell ref="A15:J15"/>
    <mergeCell ref="A23:E23"/>
    <mergeCell ref="A35:H35"/>
    <mergeCell ref="A44:J44"/>
    <mergeCell ref="A45:J45"/>
    <mergeCell ref="A46:J46"/>
    <mergeCell ref="A47:J47"/>
    <mergeCell ref="A48:J48"/>
    <mergeCell ref="A49:J49"/>
    <mergeCell ref="A50:J50"/>
    <mergeCell ref="A51:J51"/>
    <mergeCell ref="A52:J52"/>
    <mergeCell ref="A53:J53"/>
    <mergeCell ref="A54:J54"/>
    <mergeCell ref="A55:J55"/>
    <mergeCell ref="A56:J56"/>
    <mergeCell ref="A57:J57"/>
    <mergeCell ref="A58:J58"/>
    <mergeCell ref="A59:J59"/>
    <mergeCell ref="A60:J60"/>
    <mergeCell ref="A61:J61"/>
    <mergeCell ref="A62:J62"/>
    <mergeCell ref="A63:J63"/>
    <mergeCell ref="A64:J64"/>
    <mergeCell ref="A65:J65"/>
    <mergeCell ref="A66:J66"/>
    <mergeCell ref="A67:J67"/>
    <mergeCell ref="A68:J68"/>
    <mergeCell ref="A69:J69"/>
    <mergeCell ref="A70:J70"/>
    <mergeCell ref="A71:J71"/>
    <mergeCell ref="A72:J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2025-11-05T13:49:33Z</dcterms:created>
  <dc:creator>openpyxl</dc:creator>
  <dc:description/>
  <dc:language>en-US</dc:language>
  <cp:lastModifiedBy/>
  <dcterms:modified xsi:type="dcterms:W3CDTF">2025-11-05T16:05:29Z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